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ba\projects\assignment-portfolio\pithub\pithub\backlogs\"/>
    </mc:Choice>
  </mc:AlternateContent>
  <xr:revisionPtr revIDLastSave="0" documentId="13_ncr:1_{85728A36-7A78-4710-B0AF-689824E534C8}" xr6:coauthVersionLast="47" xr6:coauthVersionMax="47" xr10:uidLastSave="{00000000-0000-0000-0000-000000000000}"/>
  <bookViews>
    <workbookView xWindow="4212" yWindow="2820" windowWidth="17280" windowHeight="8880" activeTab="3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A9" i="7" l="1"/>
  <c r="B3" i="7"/>
  <c r="B2" i="7"/>
  <c r="I10" i="8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4" i="7"/>
  <c r="H14" i="7"/>
  <c r="G14" i="7"/>
  <c r="A14" i="7"/>
  <c r="I13" i="7"/>
  <c r="H13" i="7"/>
  <c r="G13" i="7"/>
  <c r="A13" i="7"/>
  <c r="I12" i="7"/>
  <c r="H12" i="7"/>
  <c r="G12" i="7"/>
  <c r="A12" i="7"/>
  <c r="I11" i="7"/>
  <c r="H11" i="7"/>
  <c r="G11" i="7"/>
  <c r="A11" i="7"/>
  <c r="I10" i="7"/>
  <c r="H10" i="7"/>
  <c r="G10" i="7"/>
  <c r="A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<sst xmlns="http://schemas.openxmlformats.org/spreadsheetml/2006/main" count="206" uniqueCount="42">
  <si>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</si>
  <si>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</si>
  <si>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</si>
  <si>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</si>
  <si>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</si>
  <si>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</si>
  <si>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</si>
  <si>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</si>
  <si>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</si>
  <si>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</si>
  <si>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</si>
  <si>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</si>
  <si>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</si>
  <si>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</si>
  <si>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</si>
  <si>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</si>
  <si>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</si>
  <si>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</si>
  <si>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</si>
  <si>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</si>
  <si>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</si>
  <si>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</si>
  <si>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</si>
  <si>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</si>
  <si>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</si>
  <si>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</si>
  <si>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</si>
  <si>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</si>
  <si>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</si>
  <si>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</si>
  <si>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</si>
  <si>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BearDown</t>
  </si>
  <si>
    <t>Sebastian Jaculbe</t>
  </si>
  <si>
    <t>Kevin Brian Dacanay</t>
  </si>
  <si>
    <t>Erick Hernandez</t>
  </si>
  <si>
    <t>Kaleb Richardson</t>
  </si>
  <si>
    <t>Edward Rodriguez</t>
  </si>
  <si>
    <t>SDJ</t>
  </si>
  <si>
    <t>April 7, 2026 @ 9:38 pm</t>
  </si>
  <si>
    <t>April 13, 2026 @ 12:04 am</t>
  </si>
  <si>
    <t>ER</t>
  </si>
  <si>
    <t>April 16, 2026 @ 9:47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</si>
</sst>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13</v>
      </c>
      <c r="B5" s="2" t="s">
        <v>19</v>
      </c>
      <c r="C5" s="3"/>
      <c r="D5" s="3"/>
      <c r="E5" s="3"/>
    </row>
    <row r="6" spans="1:9">
      <c r="A6" s="11" t="s">
        <v>14</v>
      </c>
      <c r="B6" s="2" t="s">
        <v>20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19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20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26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23</v>
      </c>
      <c r="B16" s="15" t="s">
        <v>16</v>
      </c>
      <c r="C16" s="14"/>
      <c r="D16" s="14" t="s">
        <v>25</v>
      </c>
      <c r="E16" s="7"/>
    </row>
    <row r="17" spans="1:9">
      <c r="A17" s="11" t="s">
        <v>14</v>
      </c>
      <c r="B17" s="16" t="s">
        <v>21</v>
      </c>
      <c r="C17" s="16"/>
      <c r="D17" s="17" t="s">
        <v>27</v>
      </c>
      <c r="E17" s="3"/>
    </row>
    <row r="18" spans="1:9">
      <c r="A18" s="11" t="s">
        <v>15</v>
      </c>
      <c r="B18" s="10" t="s">
        <v>18</v>
      </c>
      <c r="C18" s="16"/>
      <c r="D18" s="17" t="s">
        <v>28</v>
      </c>
      <c r="E18" s="7"/>
    </row>
    <row r="19" spans="1:9">
      <c r="B19" s="3"/>
      <c r="C19" s="3"/>
      <c r="D19" s="3"/>
      <c r="E19" s="3"/>
    </row>
    <row r="20" spans="1:9">
      <c r="A20" s="14" t="s">
        <v>24</v>
      </c>
      <c r="B20" s="15" t="s">
        <v>16</v>
      </c>
      <c r="C20" s="14"/>
      <c r="D20" s="14" t="s">
        <v>17</v>
      </c>
      <c r="E20" s="7"/>
    </row>
    <row r="21" spans="1:9">
      <c r="A21" s="11" t="s">
        <v>14</v>
      </c>
      <c r="B21" s="16" t="s">
        <v>21</v>
      </c>
      <c r="C21" s="16"/>
      <c r="D21" s="17" t="s">
        <v>29</v>
      </c>
      <c r="E21" s="3"/>
    </row>
    <row r="22" spans="1:9">
      <c r="A22" s="11" t="s">
        <v>15</v>
      </c>
      <c r="B22" s="10" t="s">
        <v>18</v>
      </c>
      <c r="C22" s="16"/>
      <c r="D22" s="17" t="s">
        <v>30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topLeftCell="A8" workbookViewId="0">
      <selection activeCell="L5" sqref="L5"/>
    </sheetView>
  </sheetViews>
  <sheetFormatPr defaultColWidth="11.19921875" defaultRowHeight="15" customHeight="1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31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13</v>
      </c>
      <c r="B5" s="2" t="s">
        <v>34</v>
      </c>
      <c r="C5" s="3"/>
      <c r="D5" s="3"/>
      <c r="E5" s="3"/>
    </row>
    <row r="6" spans="1:9" ht="16.5" customHeight="1">
      <c r="A6" s="11" t="s">
        <v>14</v>
      </c>
      <c r="B6" s="2" t="s">
        <v>32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32</v>
      </c>
      <c r="B9" s="7">
        <v>6</v>
      </c>
      <c r="C9" s="7">
        <v>16</v>
      </c>
      <c r="D9" s="7">
        <v>6</v>
      </c>
      <c r="E9" s="7">
        <v>16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2.6666666666666665</v>
      </c>
    </row>
    <row r="10" spans="1:9" ht="15.75" customHeight="1">
      <c r="A10" s="20" t="s">
        <v>33</v>
      </c>
      <c r="B10" s="7">
        <v>6</v>
      </c>
      <c r="C10" s="7">
        <v>17</v>
      </c>
      <c r="D10" s="7">
        <v>6</v>
      </c>
      <c r="E10" s="7">
        <v>17</v>
      </c>
      <c r="F10" s="8"/>
      <c r="G10" s="9">
        <f>D10/B10</f>
        <v>1</v>
      </c>
      <c r="H10" s="10">
        <f t="shared" ref="H10" si="2">E10/C10</f>
        <v>1</v>
      </c>
      <c r="I10" s="10">
        <f>E10/B10</f>
        <v>2.8333333333333335</v>
      </c>
    </row>
    <row r="11" spans="1:9" ht="15.75" customHeight="1">
      <c r="A11" s="20" t="s">
        <v>34</v>
      </c>
      <c r="B11" s="7">
        <v>6</v>
      </c>
      <c r="C11" s="7">
        <v>14</v>
      </c>
      <c r="D11" s="7">
        <v>6</v>
      </c>
      <c r="E11" s="7">
        <v>14</v>
      </c>
      <c r="F11" s="8"/>
      <c r="G11" s="9">
        <f>D11/B11</f>
        <v>1</v>
      </c>
      <c r="H11" s="10">
        <f t="shared" ref="H11" si="3">E11/C11</f>
        <v>1</v>
      </c>
      <c r="I11" s="10">
        <f>E11/B11</f>
        <v>2.3333333333333335</v>
      </c>
    </row>
    <row r="12" spans="1:9" ht="15.75" customHeight="1">
      <c r="A12" s="20" t="s">
        <v>35</v>
      </c>
      <c r="B12" s="7">
        <v>6</v>
      </c>
      <c r="C12" s="7">
        <v>14</v>
      </c>
      <c r="D12" s="7">
        <v>6</v>
      </c>
      <c r="E12" s="7">
        <v>14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2.3333333333333335</v>
      </c>
    </row>
    <row r="13" spans="1:9" ht="15.75" customHeight="1">
      <c r="A13" s="20" t="s">
        <v>36</v>
      </c>
      <c r="B13" s="7">
        <v>6</v>
      </c>
      <c r="C13" s="7">
        <v>12</v>
      </c>
      <c r="D13" s="7">
        <v>6</v>
      </c>
      <c r="E13" s="7">
        <v>12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2</v>
      </c>
    </row>
    <row r="14" spans="1:9" ht="15.75" customHeight="1">
      <c r="A14" s="11" t="s">
        <v>22</v>
      </c>
      <c r="B14" s="7">
        <v>0</v>
      </c>
      <c r="C14" s="7">
        <v>0</v>
      </c>
      <c r="D14" s="7">
        <v>0</v>
      </c>
      <c r="E14" s="7">
        <v>0</v>
      </c>
      <c r="F14" s="8"/>
      <c r="G14" s="9" t="e">
        <f t="shared" ref="G14:H14" si="6">D14/B14</f>
        <v>#DIV/0!</v>
      </c>
      <c r="H14" s="10" t="e">
        <f t="shared" si="6"/>
        <v>#DIV/0!</v>
      </c>
      <c r="I14" s="10" t="e">
        <f t="shared" si="1"/>
        <v>#DIV/0!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30</v>
      </c>
      <c r="C16" s="7">
        <f>SUM(C9:C14)</f>
        <v>73</v>
      </c>
      <c r="D16" s="7">
        <f>SUM(D9:D14)</f>
        <v>30</v>
      </c>
      <c r="E16" s="7">
        <f>SUM(E9:E14)</f>
        <v>73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2.4333333333333331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23</v>
      </c>
      <c r="B19" s="15" t="s">
        <v>16</v>
      </c>
      <c r="C19" s="14"/>
      <c r="D19" s="14" t="s">
        <v>25</v>
      </c>
      <c r="E19" s="7"/>
    </row>
    <row r="20" spans="1:9" ht="15.75" customHeight="1">
      <c r="A20" s="11" t="s">
        <v>14</v>
      </c>
      <c r="B20" s="16" t="s">
        <v>37</v>
      </c>
      <c r="C20" s="16"/>
      <c r="D20" s="17" t="s">
        <v>38</v>
      </c>
      <c r="E20" s="3"/>
    </row>
    <row r="21" spans="1:9" ht="15.75" customHeight="1">
      <c r="A21" s="11" t="s">
        <v>15</v>
      </c>
      <c r="B21" s="10"/>
      <c r="C21" s="16"/>
      <c r="D21" s="17" t="s">
        <v>28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24</v>
      </c>
      <c r="B23" s="15" t="s">
        <v>16</v>
      </c>
      <c r="C23" s="14"/>
      <c r="D23" s="14" t="s">
        <v>17</v>
      </c>
      <c r="E23" s="7"/>
    </row>
    <row r="24" spans="1:9" ht="15.75" customHeight="1">
      <c r="A24" s="11" t="s">
        <v>14</v>
      </c>
      <c r="B24" s="16" t="s">
        <v>37</v>
      </c>
      <c r="C24" s="16"/>
      <c r="D24" s="17" t="s">
        <v>29</v>
      </c>
      <c r="E24" s="3"/>
    </row>
    <row r="25" spans="1:9" ht="15.75" customHeight="1">
      <c r="A25" s="11" t="s">
        <v>15</v>
      </c>
      <c r="B25" s="10"/>
      <c r="C25" s="16"/>
      <c r="D25" s="17" t="s">
        <v>30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topLeftCell="A13"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BearDown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13</v>
      </c>
      <c r="B5" s="2" t="s">
        <v>34</v>
      </c>
      <c r="C5" s="3"/>
      <c r="D5" s="3"/>
      <c r="E5" s="3"/>
    </row>
    <row r="6" spans="1:9" ht="16.5" customHeight="1">
      <c r="A6" s="11" t="s">
        <v>14</v>
      </c>
      <c r="B6" s="2" t="s">
        <v>32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Sebastian Jaculbe</v>
      </c>
      <c r="B9" s="7">
        <v>6</v>
      </c>
      <c r="C9" s="7">
        <v>22</v>
      </c>
      <c r="D9" s="7">
        <v>6</v>
      </c>
      <c r="E9" s="7">
        <v>22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3.6666666666666665</v>
      </c>
    </row>
    <row r="10" spans="1:9" ht="15.75" customHeight="1">
      <c r="A10" s="11" t="str">
        <f>Sprint4!A10</f>
        <v>Kevin Brian Dacanay</v>
      </c>
      <c r="B10" s="7">
        <v>6</v>
      </c>
      <c r="C10" s="7">
        <v>25</v>
      </c>
      <c r="D10" s="7">
        <v>6</v>
      </c>
      <c r="E10" s="7">
        <v>25</v>
      </c>
      <c r="F10" s="8"/>
      <c r="G10" s="9">
        <f t="shared" si="0"/>
        <v>1</v>
      </c>
      <c r="H10" s="10">
        <f t="shared" si="0"/>
        <v>1</v>
      </c>
      <c r="I10" s="10">
        <f t="shared" si="1"/>
        <v>4.166666666666667</v>
      </c>
    </row>
    <row r="11" spans="1:9" ht="15.75" customHeight="1">
      <c r="A11" s="11" t="str">
        <f>Sprint4!A11</f>
        <v>Erick Hernandez</v>
      </c>
      <c r="B11" s="7">
        <v>6</v>
      </c>
      <c r="C11" s="7">
        <v>25</v>
      </c>
      <c r="D11" s="7">
        <v>6</v>
      </c>
      <c r="E11" s="7">
        <v>25</v>
      </c>
      <c r="F11" s="8"/>
      <c r="G11" s="9">
        <f t="shared" si="0"/>
        <v>1</v>
      </c>
      <c r="H11" s="10">
        <f t="shared" si="0"/>
        <v>1</v>
      </c>
      <c r="I11" s="10">
        <f t="shared" si="1"/>
        <v>4.166666666666667</v>
      </c>
    </row>
    <row r="12" spans="1:9" ht="15.75" customHeight="1">
      <c r="A12" s="11" t="str">
        <f>Sprint4!A12</f>
        <v>Kaleb Richardson</v>
      </c>
      <c r="B12" s="7">
        <v>6</v>
      </c>
      <c r="C12" s="7">
        <v>15</v>
      </c>
      <c r="D12" s="7">
        <v>6</v>
      </c>
      <c r="E12" s="7">
        <v>15</v>
      </c>
      <c r="F12" s="8"/>
      <c r="G12" s="9">
        <f t="shared" si="0"/>
        <v>1</v>
      </c>
      <c r="H12" s="10">
        <f t="shared" si="0"/>
        <v>1</v>
      </c>
      <c r="I12" s="10">
        <f t="shared" si="1"/>
        <v>2.5</v>
      </c>
    </row>
    <row r="13" spans="1:9" ht="15.75" customHeight="1">
      <c r="A13" s="11" t="str">
        <f>Sprint4!A13</f>
        <v>Edward Rodriguez</v>
      </c>
      <c r="B13" s="7">
        <v>6</v>
      </c>
      <c r="C13" s="7">
        <v>13</v>
      </c>
      <c r="D13" s="7">
        <v>6</v>
      </c>
      <c r="E13" s="7">
        <v>13</v>
      </c>
      <c r="F13" s="8"/>
      <c r="G13" s="9">
        <f t="shared" si="0"/>
        <v>1</v>
      </c>
      <c r="H13" s="10">
        <f t="shared" si="0"/>
        <v>1</v>
      </c>
      <c r="I13" s="10">
        <f t="shared" si="1"/>
        <v>2.1666666666666665</v>
      </c>
    </row>
    <row r="14" spans="1:9" ht="15.75" customHeight="1">
      <c r="A14" s="11" t="str">
        <f>Sprint4!A14</f>
        <v>Team Member 6</v>
      </c>
      <c r="B14" s="7">
        <v>0</v>
      </c>
      <c r="C14" s="7">
        <v>0</v>
      </c>
      <c r="D14" s="7">
        <v>0</v>
      </c>
      <c r="E14" s="7">
        <v>0</v>
      </c>
      <c r="F14" s="8"/>
      <c r="G14" s="9" t="e">
        <f t="shared" si="0"/>
        <v>#DIV/0!</v>
      </c>
      <c r="H14" s="10" t="e">
        <f t="shared" si="0"/>
        <v>#DIV/0!</v>
      </c>
      <c r="I14" s="10" t="e">
        <f t="shared" si="1"/>
        <v>#DIV/0!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30</v>
      </c>
      <c r="C16" s="7">
        <f>SUM(C9:C14)</f>
        <v>100</v>
      </c>
      <c r="D16" s="7">
        <f>SUM(D9:D14)</f>
        <v>30</v>
      </c>
      <c r="E16" s="7">
        <f>SUM(E9:E14)</f>
        <v>100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3.3333333333333335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23</v>
      </c>
      <c r="B19" s="15" t="s">
        <v>16</v>
      </c>
      <c r="C19" s="14"/>
      <c r="D19" s="14" t="s">
        <v>25</v>
      </c>
      <c r="E19" s="7"/>
    </row>
    <row r="20" spans="1:9" ht="15.75" customHeight="1">
      <c r="A20" s="11" t="s">
        <v>14</v>
      </c>
      <c r="B20" s="16" t="s">
        <v>37</v>
      </c>
      <c r="C20" s="16"/>
      <c r="D20" s="17" t="s">
        <v>39</v>
      </c>
      <c r="E20" s="3"/>
    </row>
    <row r="21" spans="1:9" ht="15.75" customHeight="1">
      <c r="A21" s="11" t="s">
        <v>15</v>
      </c>
      <c r="B21" s="10"/>
      <c r="C21" s="16"/>
      <c r="D21" s="17" t="s">
        <v>28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24</v>
      </c>
      <c r="B23" s="15" t="s">
        <v>16</v>
      </c>
      <c r="C23" s="14"/>
      <c r="D23" s="14" t="s">
        <v>17</v>
      </c>
      <c r="E23" s="7"/>
    </row>
    <row r="24" spans="1:9" ht="15.75" customHeight="1">
      <c r="A24" s="11" t="s">
        <v>14</v>
      </c>
      <c r="B24" s="16" t="s">
        <v>37</v>
      </c>
      <c r="C24" s="16"/>
      <c r="D24" s="17" t="s">
        <v>39</v>
      </c>
      <c r="E24" s="3"/>
    </row>
    <row r="25" spans="1:9" ht="15.75" customHeight="1">
      <c r="A25" s="11" t="s">
        <v>15</v>
      </c>
      <c r="B25" s="10"/>
      <c r="C25" s="16"/>
      <c r="D25" s="17" t="s">
        <v>30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tabSelected="1" workbookViewId="0">
      <selection activeCell="D21" sqref="D21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BearDown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13</v>
      </c>
      <c r="B5" s="2" t="s">
        <v>19</v>
      </c>
      <c r="C5" s="3"/>
      <c r="D5" s="3"/>
      <c r="E5" s="3"/>
    </row>
    <row r="6" spans="1:9" ht="16.5" customHeight="1">
      <c r="A6" s="11" t="s">
        <v>14</v>
      </c>
      <c r="B6" s="2" t="s">
        <v>20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Sebastian Jaculbe</v>
      </c>
      <c r="B9" s="7">
        <v>8</v>
      </c>
      <c r="C9" s="7">
        <v>1</v>
      </c>
      <c r="D9" s="7">
        <v>1</v>
      </c>
      <c r="E9" s="7">
        <v>1</v>
      </c>
      <c r="F9" s="8"/>
      <c r="G9" s="9">
        <f t="shared" ref="G9:H14" si="0">D9/B9</f>
        <v>0.125</v>
      </c>
      <c r="H9" s="10">
        <f t="shared" si="0"/>
        <v>1</v>
      </c>
      <c r="I9" s="10">
        <f t="shared" ref="I9:I16" si="1">E9/B9</f>
        <v>0.125</v>
      </c>
    </row>
    <row r="10" spans="1:9" ht="15.75" customHeight="1">
      <c r="A10" s="11" t="str">
        <f>Sprint4!A10</f>
        <v>Kevin Brian Dacanay</v>
      </c>
      <c r="B10" s="7">
        <v>8</v>
      </c>
      <c r="C10" s="7">
        <v>1</v>
      </c>
      <c r="D10" s="7">
        <v>1</v>
      </c>
      <c r="E10" s="7">
        <v>1</v>
      </c>
      <c r="F10" s="8"/>
      <c r="G10" s="9">
        <f t="shared" si="0"/>
        <v>0.125</v>
      </c>
      <c r="H10" s="10">
        <f t="shared" si="0"/>
        <v>1</v>
      </c>
      <c r="I10" s="10">
        <f t="shared" si="1"/>
        <v>0.125</v>
      </c>
    </row>
    <row r="11" spans="1:9" ht="15.75" customHeight="1">
      <c r="A11" s="11" t="str">
        <f>Sprint4!A11</f>
        <v>Erick Hernandez</v>
      </c>
      <c r="B11" s="7">
        <v>8</v>
      </c>
      <c r="C11" s="7">
        <v>1</v>
      </c>
      <c r="D11" s="7">
        <v>1</v>
      </c>
      <c r="E11" s="7">
        <v>1</v>
      </c>
      <c r="F11" s="8"/>
      <c r="G11" s="9">
        <f t="shared" si="0"/>
        <v>0.125</v>
      </c>
      <c r="H11" s="10">
        <f t="shared" si="0"/>
        <v>1</v>
      </c>
      <c r="I11" s="10">
        <f t="shared" si="1"/>
        <v>0.125</v>
      </c>
    </row>
    <row r="12" spans="1:9" ht="15.75" customHeight="1">
      <c r="A12" s="11" t="str">
        <f>Sprint4!A12</f>
        <v>Kaleb Richardson</v>
      </c>
      <c r="B12" s="7">
        <v>8</v>
      </c>
      <c r="C12" s="7">
        <v>1</v>
      </c>
      <c r="D12" s="7">
        <v>1</v>
      </c>
      <c r="E12" s="7">
        <v>1</v>
      </c>
      <c r="F12" s="8"/>
      <c r="G12" s="9">
        <f t="shared" si="0"/>
        <v>0.125</v>
      </c>
      <c r="H12" s="10">
        <f t="shared" si="0"/>
        <v>1</v>
      </c>
      <c r="I12" s="10">
        <f t="shared" si="1"/>
        <v>0.125</v>
      </c>
    </row>
    <row r="13" spans="1:9" ht="15.75" customHeight="1">
      <c r="A13" s="11" t="str">
        <f>Sprint4!A13</f>
        <v>Edward Rodriguez</v>
      </c>
      <c r="B13" s="7">
        <v>8</v>
      </c>
      <c r="C13" s="7">
        <v>1</v>
      </c>
      <c r="D13" s="7">
        <v>1</v>
      </c>
      <c r="E13" s="7">
        <v>1</v>
      </c>
      <c r="F13" s="8"/>
      <c r="G13" s="9">
        <f t="shared" si="0"/>
        <v>0.125</v>
      </c>
      <c r="H13" s="10">
        <f t="shared" si="0"/>
        <v>1</v>
      </c>
      <c r="I13" s="10">
        <f t="shared" si="1"/>
        <v>0.125</v>
      </c>
    </row>
    <row r="14" spans="1:9" ht="15.75" customHeight="1">
      <c r="A14" s="11" t="str">
        <f>Sprint4!A14</f>
        <v>Team Member 6</v>
      </c>
      <c r="B14" s="7">
        <v>0</v>
      </c>
      <c r="C14" s="7">
        <v>1</v>
      </c>
      <c r="D14" s="7">
        <v>1</v>
      </c>
      <c r="E14" s="7">
        <v>1</v>
      </c>
      <c r="F14" s="8"/>
      <c r="G14" s="9" t="e">
        <f t="shared" si="0"/>
        <v>#DIV/0!</v>
      </c>
      <c r="H14" s="10">
        <f t="shared" si="0"/>
        <v>1</v>
      </c>
      <c r="I14" s="10" t="e">
        <f t="shared" si="1"/>
        <v>#DIV/0!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40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0.15</v>
      </c>
      <c r="H16" s="10">
        <f t="shared" si="2"/>
        <v>1</v>
      </c>
      <c r="I16" s="10">
        <f t="shared" si="1"/>
        <v>0.15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23</v>
      </c>
      <c r="B19" s="15" t="s">
        <v>16</v>
      </c>
      <c r="C19" s="14"/>
      <c r="D19" s="14" t="s">
        <v>25</v>
      </c>
      <c r="E19" s="7"/>
    </row>
    <row r="20" spans="1:9" ht="15.75" customHeight="1">
      <c r="A20" s="11" t="s">
        <v>14</v>
      </c>
      <c r="B20" s="16" t="s">
        <v>40</v>
      </c>
      <c r="C20" s="16"/>
      <c r="D20" s="17" t="s">
        <v>41</v>
      </c>
      <c r="E20" s="3"/>
    </row>
    <row r="21" spans="1:9" ht="15.75" customHeight="1">
      <c r="A21" s="11" t="s">
        <v>15</v>
      </c>
      <c r="B21" s="10"/>
      <c r="C21" s="16"/>
      <c r="D21" s="17" t="s">
        <v>28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24</v>
      </c>
      <c r="B23" s="15" t="s">
        <v>16</v>
      </c>
      <c r="C23" s="14"/>
      <c r="D23" s="14" t="s">
        <v>17</v>
      </c>
      <c r="E23" s="7"/>
    </row>
    <row r="24" spans="1:9" ht="15.75" customHeight="1">
      <c r="A24" s="11" t="s">
        <v>14</v>
      </c>
      <c r="B24" s="16" t="s">
        <v>21</v>
      </c>
      <c r="C24" s="16"/>
      <c r="D24" s="17" t="s">
        <v>29</v>
      </c>
      <c r="E24" s="3"/>
    </row>
    <row r="25" spans="1:9" ht="15.75" customHeight="1">
      <c r="A25" s="11" t="s">
        <v>15</v>
      </c>
      <c r="B25" s="10" t="s">
        <v>18</v>
      </c>
      <c r="C25" s="16"/>
      <c r="D25" s="17" t="s">
        <v>30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BearDown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13</v>
      </c>
      <c r="B5" s="2" t="s">
        <v>19</v>
      </c>
      <c r="C5" s="3"/>
      <c r="D5" s="3"/>
      <c r="E5" s="3"/>
    </row>
    <row r="6" spans="1:9" ht="16.5" customHeight="1">
      <c r="A6" s="11" t="s">
        <v>14</v>
      </c>
      <c r="B6" s="2" t="s">
        <v>20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Sebastian Jaculbe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Kevin Brian Dacanay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Erick Hernandez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Kaleb Richardson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Edward Rodriguez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23</v>
      </c>
      <c r="B19" s="15" t="s">
        <v>16</v>
      </c>
      <c r="C19" s="14"/>
      <c r="D19" s="14" t="s">
        <v>25</v>
      </c>
      <c r="E19" s="7"/>
    </row>
    <row r="20" spans="1:9" ht="15.75" customHeight="1">
      <c r="A20" s="11" t="s">
        <v>14</v>
      </c>
      <c r="B20" s="16" t="s">
        <v>21</v>
      </c>
      <c r="C20" s="16"/>
      <c r="D20" s="17" t="s">
        <v>27</v>
      </c>
      <c r="E20" s="3"/>
    </row>
    <row r="21" spans="1:9" ht="15.75" customHeight="1">
      <c r="A21" s="11" t="s">
        <v>15</v>
      </c>
      <c r="B21" s="10" t="s">
        <v>18</v>
      </c>
      <c r="C21" s="16"/>
      <c r="D21" s="17" t="s">
        <v>28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24</v>
      </c>
      <c r="B23" s="15" t="s">
        <v>16</v>
      </c>
      <c r="C23" s="14"/>
      <c r="D23" s="14" t="s">
        <v>17</v>
      </c>
      <c r="E23" s="7"/>
    </row>
    <row r="24" spans="1:9" ht="15.75" customHeight="1">
      <c r="A24" s="11" t="s">
        <v>14</v>
      </c>
      <c r="B24" s="16" t="s">
        <v>21</v>
      </c>
      <c r="C24" s="16"/>
      <c r="D24" s="17" t="s">
        <v>29</v>
      </c>
      <c r="E24" s="3"/>
    </row>
    <row r="25" spans="1:9" ht="15.75" customHeight="1">
      <c r="A25" s="11" t="s">
        <v>15</v>
      </c>
      <c r="B25" s="10" t="s">
        <v>18</v>
      </c>
      <c r="C25" s="16"/>
      <c r="D25" s="17" t="s">
        <v>30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opLeftCell="A13" workbookViewId="0">
      <selection activeCell="H8" sqref="H8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Sprint4!B2+4</f>
        <v>8</v>
      </c>
    </row>
    <row r="3" spans="1:9" ht="16.5" customHeight="1">
      <c r="A3" s="11" t="s">
        <v>10</v>
      </c>
      <c r="B3" s="2" t="str">
        <f>Sprint4!B3</f>
        <v>BearDown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13</v>
      </c>
      <c r="B5" s="2" t="s">
        <v>19</v>
      </c>
      <c r="C5" s="3"/>
      <c r="D5" s="3"/>
      <c r="E5" s="3"/>
    </row>
    <row r="6" spans="1:9" ht="16.5" customHeight="1">
      <c r="A6" s="11" t="s">
        <v>14</v>
      </c>
      <c r="B6" s="2" t="s">
        <v>20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Sebastian Jaculbe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Kevin Brian Dacanay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Erick Hernandez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Kaleb Richardson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Edward Rodriguez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23</v>
      </c>
      <c r="B19" s="15" t="s">
        <v>16</v>
      </c>
      <c r="C19" s="14"/>
      <c r="D19" s="14" t="s">
        <v>25</v>
      </c>
      <c r="E19" s="7"/>
    </row>
    <row r="20" spans="1:9" ht="15.75" customHeight="1">
      <c r="A20" s="11" t="s">
        <v>14</v>
      </c>
      <c r="B20" s="16" t="s">
        <v>21</v>
      </c>
      <c r="C20" s="16"/>
      <c r="D20" s="17" t="s">
        <v>27</v>
      </c>
      <c r="E20" s="3"/>
    </row>
    <row r="21" spans="1:9" ht="15.75" customHeight="1">
      <c r="A21" s="11" t="s">
        <v>15</v>
      </c>
      <c r="B21" s="10" t="s">
        <v>18</v>
      </c>
      <c r="C21" s="16"/>
      <c r="D21" s="17" t="s">
        <v>28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24</v>
      </c>
      <c r="B23" s="15" t="s">
        <v>16</v>
      </c>
      <c r="C23" s="14"/>
      <c r="D23" s="14" t="s">
        <v>17</v>
      </c>
      <c r="E23" s="7"/>
    </row>
    <row r="24" spans="1:9" ht="15.75" customHeight="1">
      <c r="A24" s="11" t="s">
        <v>14</v>
      </c>
      <c r="B24" s="16" t="s">
        <v>21</v>
      </c>
      <c r="C24" s="16"/>
      <c r="D24" s="17" t="s">
        <v>29</v>
      </c>
      <c r="E24" s="3"/>
    </row>
    <row r="25" spans="1:9" ht="15.75" customHeight="1">
      <c r="A25" s="11" t="s">
        <v>15</v>
      </c>
      <c r="B25" s="10" t="s">
        <v>18</v>
      </c>
      <c r="C25" s="16"/>
      <c r="D25" s="17" t="s">
        <v>30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 Basti</cp:lastModifiedBy>
  <dcterms:created xsi:type="dcterms:W3CDTF">2022-03-25T02:48:07Z</dcterms:created>
  <dcterms:modified xsi:type="dcterms:W3CDTF">2026-04-16T14:47:18Z</dcterms:modified>
</cp:coreProperties>
</file>